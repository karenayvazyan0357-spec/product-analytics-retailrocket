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enajvazan/Downloads/product-analytics-ecommerce/scripts/reports/"/>
    </mc:Choice>
  </mc:AlternateContent>
  <xr:revisionPtr revIDLastSave="0" documentId="13_ncr:1_{0CF4A5CC-C8CD-A646-9D63-30DEE54AAD9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Сводка" sheetId="1" r:id="rId1"/>
    <sheet name="Воронка" sheetId="2" r:id="rId2"/>
    <sheet name="Динамика" sheetId="3" r:id="rId3"/>
    <sheet name="Сегменты" sheetId="4" r:id="rId4"/>
    <sheet name="Дни недел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/>
  <c r="D7" i="5"/>
  <c r="D6" i="5"/>
  <c r="D5" i="5"/>
  <c r="D4" i="5"/>
  <c r="D3" i="5"/>
  <c r="D2" i="5"/>
  <c r="E4" i="4"/>
  <c r="D4" i="4"/>
  <c r="E3" i="4"/>
  <c r="D3" i="4"/>
  <c r="E2" i="4"/>
  <c r="D2" i="4"/>
  <c r="D4" i="2"/>
  <c r="C4" i="2"/>
  <c r="B7" i="1" s="1"/>
  <c r="D3" i="2"/>
  <c r="C3" i="2"/>
  <c r="D2" i="2"/>
  <c r="B6" i="1"/>
  <c r="B5" i="1"/>
  <c r="B4" i="1"/>
</calcChain>
</file>

<file path=xl/sharedStrings.xml><?xml version="1.0" encoding="utf-8"?>
<sst xmlns="http://schemas.openxmlformats.org/spreadsheetml/2006/main" count="38" uniqueCount="34">
  <si>
    <t>1. Просмотр</t>
  </si>
  <si>
    <t>2. Корзина</t>
  </si>
  <si>
    <t>3. Покупка</t>
  </si>
  <si>
    <t>Шаг</t>
  </si>
  <si>
    <t>Посетители</t>
  </si>
  <si>
    <t>Конверсия от предыдущего шага</t>
  </si>
  <si>
    <t>Конверсия от первого шага</t>
  </si>
  <si>
    <t>День</t>
  </si>
  <si>
    <t>Добавили в корзину</t>
  </si>
  <si>
    <t>Покупатели</t>
  </si>
  <si>
    <t>Конверсия, %</t>
  </si>
  <si>
    <t>1 заказ</t>
  </si>
  <si>
    <t>2-6 заказов</t>
  </si>
  <si>
    <t>7+ заказов</t>
  </si>
  <si>
    <t>Сегмент</t>
  </si>
  <si>
    <t>Заказы</t>
  </si>
  <si>
    <t>Доля покупателей</t>
  </si>
  <si>
    <t>Доля заказов</t>
  </si>
  <si>
    <t>День недели</t>
  </si>
  <si>
    <t>Пн</t>
  </si>
  <si>
    <t>Вт</t>
  </si>
  <si>
    <t>Ср</t>
  </si>
  <si>
    <t>Чт</t>
  </si>
  <si>
    <t>Пт</t>
  </si>
  <si>
    <t>Сб</t>
  </si>
  <si>
    <t>Вс</t>
  </si>
  <si>
    <t>Конверсия</t>
  </si>
  <si>
    <t>Retail Rocket: ключевые метрики</t>
  </si>
  <si>
    <t>Период данных (полные дни)</t>
  </si>
  <si>
    <t>04.05.2015 - 15.09.2015</t>
  </si>
  <si>
    <t>Посетителей (без краулеров)</t>
  </si>
  <si>
    <t>Покупателей (строгая воронка)</t>
  </si>
  <si>
    <t>Конверсия просмотр - покупка</t>
  </si>
  <si>
    <t>Конверсия корзина - покупка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</si>
</sst>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0" fontId="0" fillId="0" borderId="0" xfId="0" applyNumberFormat="1"/>
    <xf numFmtId="0" fontId="2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Посетители по дням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Посетители</c:v>
          </c:tx>
          <c:marker>
            <c:symbol val="none"/>
          </c:marker>
          <c:cat>
            <c:numRef>
              <c:f>Динамика!$A$2:$A$136</c:f>
              <c:numCache>
                <c:formatCode>dd\.mm\.yyyy</c:formatCode>
                <c:ptCount val="135"/>
                <c:pt idx="0">
                  <c:v>42128</c:v>
                </c:pt>
                <c:pt idx="1">
                  <c:v>42129</c:v>
                </c:pt>
                <c:pt idx="2">
                  <c:v>42130</c:v>
                </c:pt>
                <c:pt idx="3">
                  <c:v>42131</c:v>
                </c:pt>
                <c:pt idx="4">
                  <c:v>42132</c:v>
                </c:pt>
                <c:pt idx="5">
                  <c:v>42133</c:v>
                </c:pt>
                <c:pt idx="6">
                  <c:v>42134</c:v>
                </c:pt>
                <c:pt idx="7">
                  <c:v>42135</c:v>
                </c:pt>
                <c:pt idx="8">
                  <c:v>42136</c:v>
                </c:pt>
                <c:pt idx="9">
                  <c:v>42137</c:v>
                </c:pt>
                <c:pt idx="10">
                  <c:v>42138</c:v>
                </c:pt>
                <c:pt idx="11">
                  <c:v>42139</c:v>
                </c:pt>
                <c:pt idx="12">
                  <c:v>42140</c:v>
                </c:pt>
                <c:pt idx="13">
                  <c:v>42141</c:v>
                </c:pt>
                <c:pt idx="14">
                  <c:v>42142</c:v>
                </c:pt>
                <c:pt idx="15">
                  <c:v>42143</c:v>
                </c:pt>
                <c:pt idx="16">
                  <c:v>42144</c:v>
                </c:pt>
                <c:pt idx="17">
                  <c:v>42145</c:v>
                </c:pt>
                <c:pt idx="18">
                  <c:v>42146</c:v>
                </c:pt>
                <c:pt idx="19">
                  <c:v>42147</c:v>
                </c:pt>
                <c:pt idx="20">
                  <c:v>42148</c:v>
                </c:pt>
                <c:pt idx="21">
                  <c:v>42149</c:v>
                </c:pt>
                <c:pt idx="22">
                  <c:v>42150</c:v>
                </c:pt>
                <c:pt idx="23">
                  <c:v>42151</c:v>
                </c:pt>
                <c:pt idx="24">
                  <c:v>42152</c:v>
                </c:pt>
                <c:pt idx="25">
                  <c:v>42153</c:v>
                </c:pt>
                <c:pt idx="26">
                  <c:v>42154</c:v>
                </c:pt>
                <c:pt idx="27">
                  <c:v>42155</c:v>
                </c:pt>
                <c:pt idx="28">
                  <c:v>42156</c:v>
                </c:pt>
                <c:pt idx="29">
                  <c:v>42157</c:v>
                </c:pt>
                <c:pt idx="30">
                  <c:v>42158</c:v>
                </c:pt>
                <c:pt idx="31">
                  <c:v>42159</c:v>
                </c:pt>
                <c:pt idx="32">
                  <c:v>42160</c:v>
                </c:pt>
                <c:pt idx="33">
                  <c:v>42161</c:v>
                </c:pt>
                <c:pt idx="34">
                  <c:v>42162</c:v>
                </c:pt>
                <c:pt idx="35">
                  <c:v>42163</c:v>
                </c:pt>
                <c:pt idx="36">
                  <c:v>42164</c:v>
                </c:pt>
                <c:pt idx="37">
                  <c:v>42165</c:v>
                </c:pt>
                <c:pt idx="38">
                  <c:v>42166</c:v>
                </c:pt>
                <c:pt idx="39">
                  <c:v>42167</c:v>
                </c:pt>
                <c:pt idx="40">
                  <c:v>42168</c:v>
                </c:pt>
                <c:pt idx="41">
                  <c:v>42169</c:v>
                </c:pt>
                <c:pt idx="42">
                  <c:v>42170</c:v>
                </c:pt>
                <c:pt idx="43">
                  <c:v>42171</c:v>
                </c:pt>
                <c:pt idx="44">
                  <c:v>42172</c:v>
                </c:pt>
                <c:pt idx="45">
                  <c:v>42173</c:v>
                </c:pt>
                <c:pt idx="46">
                  <c:v>42174</c:v>
                </c:pt>
                <c:pt idx="47">
                  <c:v>42175</c:v>
                </c:pt>
                <c:pt idx="48">
                  <c:v>42176</c:v>
                </c:pt>
                <c:pt idx="49">
                  <c:v>42177</c:v>
                </c:pt>
                <c:pt idx="50">
                  <c:v>42178</c:v>
                </c:pt>
                <c:pt idx="51">
                  <c:v>42179</c:v>
                </c:pt>
                <c:pt idx="52">
                  <c:v>42180</c:v>
                </c:pt>
                <c:pt idx="53">
                  <c:v>42181</c:v>
                </c:pt>
                <c:pt idx="54">
                  <c:v>42182</c:v>
                </c:pt>
                <c:pt idx="55">
                  <c:v>42183</c:v>
                </c:pt>
                <c:pt idx="56">
                  <c:v>42184</c:v>
                </c:pt>
                <c:pt idx="57">
                  <c:v>42185</c:v>
                </c:pt>
                <c:pt idx="58">
                  <c:v>42186</c:v>
                </c:pt>
                <c:pt idx="59">
                  <c:v>42187</c:v>
                </c:pt>
                <c:pt idx="60">
                  <c:v>42188</c:v>
                </c:pt>
                <c:pt idx="61">
                  <c:v>42189</c:v>
                </c:pt>
                <c:pt idx="62">
                  <c:v>42190</c:v>
                </c:pt>
                <c:pt idx="63">
                  <c:v>42191</c:v>
                </c:pt>
                <c:pt idx="64">
                  <c:v>42192</c:v>
                </c:pt>
                <c:pt idx="65">
                  <c:v>42193</c:v>
                </c:pt>
                <c:pt idx="66">
                  <c:v>42194</c:v>
                </c:pt>
                <c:pt idx="67">
                  <c:v>42195</c:v>
                </c:pt>
                <c:pt idx="68">
                  <c:v>42196</c:v>
                </c:pt>
                <c:pt idx="69">
                  <c:v>42197</c:v>
                </c:pt>
                <c:pt idx="70">
                  <c:v>42198</c:v>
                </c:pt>
                <c:pt idx="71">
                  <c:v>42199</c:v>
                </c:pt>
                <c:pt idx="72">
                  <c:v>42200</c:v>
                </c:pt>
                <c:pt idx="73">
                  <c:v>42201</c:v>
                </c:pt>
                <c:pt idx="74">
                  <c:v>42202</c:v>
                </c:pt>
                <c:pt idx="75">
                  <c:v>42203</c:v>
                </c:pt>
                <c:pt idx="76">
                  <c:v>42204</c:v>
                </c:pt>
                <c:pt idx="77">
                  <c:v>42205</c:v>
                </c:pt>
                <c:pt idx="78">
                  <c:v>42206</c:v>
                </c:pt>
                <c:pt idx="79">
                  <c:v>42207</c:v>
                </c:pt>
                <c:pt idx="80">
                  <c:v>42208</c:v>
                </c:pt>
                <c:pt idx="81">
                  <c:v>42209</c:v>
                </c:pt>
                <c:pt idx="82">
                  <c:v>42210</c:v>
                </c:pt>
                <c:pt idx="83">
                  <c:v>42211</c:v>
                </c:pt>
                <c:pt idx="84">
                  <c:v>42212</c:v>
                </c:pt>
                <c:pt idx="85">
                  <c:v>42213</c:v>
                </c:pt>
                <c:pt idx="86">
                  <c:v>42214</c:v>
                </c:pt>
                <c:pt idx="87">
                  <c:v>42215</c:v>
                </c:pt>
                <c:pt idx="88">
                  <c:v>42216</c:v>
                </c:pt>
                <c:pt idx="89">
                  <c:v>42217</c:v>
                </c:pt>
                <c:pt idx="90">
                  <c:v>42218</c:v>
                </c:pt>
                <c:pt idx="91">
                  <c:v>42219</c:v>
                </c:pt>
                <c:pt idx="92">
                  <c:v>42220</c:v>
                </c:pt>
                <c:pt idx="93">
                  <c:v>42221</c:v>
                </c:pt>
                <c:pt idx="94">
                  <c:v>42222</c:v>
                </c:pt>
                <c:pt idx="95">
                  <c:v>42223</c:v>
                </c:pt>
                <c:pt idx="96">
                  <c:v>42224</c:v>
                </c:pt>
                <c:pt idx="97">
                  <c:v>42225</c:v>
                </c:pt>
                <c:pt idx="98">
                  <c:v>42226</c:v>
                </c:pt>
                <c:pt idx="99">
                  <c:v>42227</c:v>
                </c:pt>
                <c:pt idx="100">
                  <c:v>42228</c:v>
                </c:pt>
                <c:pt idx="101">
                  <c:v>42229</c:v>
                </c:pt>
                <c:pt idx="102">
                  <c:v>42230</c:v>
                </c:pt>
                <c:pt idx="103">
                  <c:v>42231</c:v>
                </c:pt>
                <c:pt idx="104">
                  <c:v>42232</c:v>
                </c:pt>
                <c:pt idx="105">
                  <c:v>42233</c:v>
                </c:pt>
                <c:pt idx="106">
                  <c:v>42234</c:v>
                </c:pt>
                <c:pt idx="107">
                  <c:v>42235</c:v>
                </c:pt>
                <c:pt idx="108">
                  <c:v>42236</c:v>
                </c:pt>
                <c:pt idx="109">
                  <c:v>42237</c:v>
                </c:pt>
                <c:pt idx="110">
                  <c:v>42238</c:v>
                </c:pt>
                <c:pt idx="111">
                  <c:v>42239</c:v>
                </c:pt>
                <c:pt idx="112">
                  <c:v>42240</c:v>
                </c:pt>
                <c:pt idx="113">
                  <c:v>42241</c:v>
                </c:pt>
                <c:pt idx="114">
                  <c:v>42242</c:v>
                </c:pt>
                <c:pt idx="115">
                  <c:v>42243</c:v>
                </c:pt>
                <c:pt idx="116">
                  <c:v>42244</c:v>
                </c:pt>
                <c:pt idx="117">
                  <c:v>42245</c:v>
                </c:pt>
                <c:pt idx="118">
                  <c:v>42246</c:v>
                </c:pt>
                <c:pt idx="119">
                  <c:v>42247</c:v>
                </c:pt>
                <c:pt idx="120">
                  <c:v>42248</c:v>
                </c:pt>
                <c:pt idx="121">
                  <c:v>42249</c:v>
                </c:pt>
                <c:pt idx="122">
                  <c:v>42250</c:v>
                </c:pt>
                <c:pt idx="123">
                  <c:v>42251</c:v>
                </c:pt>
                <c:pt idx="124">
                  <c:v>42252</c:v>
                </c:pt>
                <c:pt idx="125">
                  <c:v>42253</c:v>
                </c:pt>
                <c:pt idx="126">
                  <c:v>42254</c:v>
                </c:pt>
                <c:pt idx="127">
                  <c:v>42255</c:v>
                </c:pt>
                <c:pt idx="128">
                  <c:v>42256</c:v>
                </c:pt>
                <c:pt idx="129">
                  <c:v>42257</c:v>
                </c:pt>
                <c:pt idx="130">
                  <c:v>42258</c:v>
                </c:pt>
                <c:pt idx="131">
                  <c:v>42259</c:v>
                </c:pt>
                <c:pt idx="132">
                  <c:v>42260</c:v>
                </c:pt>
                <c:pt idx="133">
                  <c:v>42261</c:v>
                </c:pt>
                <c:pt idx="134">
                  <c:v>42262</c:v>
                </c:pt>
              </c:numCache>
            </c:numRef>
          </c:cat>
          <c:val>
            <c:numRef>
              <c:f>Динамика!$B$2:$B$136</c:f>
              <c:numCache>
                <c:formatCode>General</c:formatCode>
                <c:ptCount val="135"/>
                <c:pt idx="0">
                  <c:v>10707</c:v>
                </c:pt>
                <c:pt idx="1">
                  <c:v>13037</c:v>
                </c:pt>
                <c:pt idx="2">
                  <c:v>13351</c:v>
                </c:pt>
                <c:pt idx="3">
                  <c:v>13268</c:v>
                </c:pt>
                <c:pt idx="4">
                  <c:v>11608</c:v>
                </c:pt>
                <c:pt idx="5">
                  <c:v>8285</c:v>
                </c:pt>
                <c:pt idx="6">
                  <c:v>7051</c:v>
                </c:pt>
                <c:pt idx="7">
                  <c:v>9155</c:v>
                </c:pt>
                <c:pt idx="8">
                  <c:v>12253</c:v>
                </c:pt>
                <c:pt idx="9">
                  <c:v>13375</c:v>
                </c:pt>
                <c:pt idx="10">
                  <c:v>13668</c:v>
                </c:pt>
                <c:pt idx="11">
                  <c:v>13055</c:v>
                </c:pt>
                <c:pt idx="12">
                  <c:v>11576</c:v>
                </c:pt>
                <c:pt idx="13">
                  <c:v>11765</c:v>
                </c:pt>
                <c:pt idx="14">
                  <c:v>14929</c:v>
                </c:pt>
                <c:pt idx="15">
                  <c:v>15396</c:v>
                </c:pt>
                <c:pt idx="16">
                  <c:v>13842</c:v>
                </c:pt>
                <c:pt idx="17">
                  <c:v>12870</c:v>
                </c:pt>
                <c:pt idx="18">
                  <c:v>12514</c:v>
                </c:pt>
                <c:pt idx="19">
                  <c:v>10094</c:v>
                </c:pt>
                <c:pt idx="20">
                  <c:v>10192</c:v>
                </c:pt>
                <c:pt idx="21">
                  <c:v>13127</c:v>
                </c:pt>
                <c:pt idx="22">
                  <c:v>13377</c:v>
                </c:pt>
                <c:pt idx="23">
                  <c:v>12759</c:v>
                </c:pt>
                <c:pt idx="24">
                  <c:v>12984</c:v>
                </c:pt>
                <c:pt idx="25">
                  <c:v>12181</c:v>
                </c:pt>
                <c:pt idx="26">
                  <c:v>10188</c:v>
                </c:pt>
                <c:pt idx="27">
                  <c:v>9735</c:v>
                </c:pt>
                <c:pt idx="28">
                  <c:v>12404</c:v>
                </c:pt>
                <c:pt idx="29">
                  <c:v>13808</c:v>
                </c:pt>
                <c:pt idx="30">
                  <c:v>13334</c:v>
                </c:pt>
                <c:pt idx="31">
                  <c:v>13032</c:v>
                </c:pt>
                <c:pt idx="32">
                  <c:v>12513</c:v>
                </c:pt>
                <c:pt idx="33">
                  <c:v>10087</c:v>
                </c:pt>
                <c:pt idx="34">
                  <c:v>9482</c:v>
                </c:pt>
                <c:pt idx="35">
                  <c:v>11604</c:v>
                </c:pt>
                <c:pt idx="36">
                  <c:v>13657</c:v>
                </c:pt>
                <c:pt idx="37">
                  <c:v>13825</c:v>
                </c:pt>
                <c:pt idx="38">
                  <c:v>13052</c:v>
                </c:pt>
                <c:pt idx="39">
                  <c:v>9867</c:v>
                </c:pt>
                <c:pt idx="40">
                  <c:v>8035</c:v>
                </c:pt>
                <c:pt idx="41">
                  <c:v>7417</c:v>
                </c:pt>
                <c:pt idx="42">
                  <c:v>11693</c:v>
                </c:pt>
                <c:pt idx="43">
                  <c:v>13572</c:v>
                </c:pt>
                <c:pt idx="44">
                  <c:v>13635</c:v>
                </c:pt>
                <c:pt idx="45">
                  <c:v>13182</c:v>
                </c:pt>
                <c:pt idx="46">
                  <c:v>11920</c:v>
                </c:pt>
                <c:pt idx="47">
                  <c:v>9203</c:v>
                </c:pt>
                <c:pt idx="48">
                  <c:v>9012</c:v>
                </c:pt>
                <c:pt idx="49">
                  <c:v>12130</c:v>
                </c:pt>
                <c:pt idx="50">
                  <c:v>13038</c:v>
                </c:pt>
                <c:pt idx="51">
                  <c:v>12689</c:v>
                </c:pt>
                <c:pt idx="52">
                  <c:v>11799</c:v>
                </c:pt>
                <c:pt idx="53">
                  <c:v>11844</c:v>
                </c:pt>
                <c:pt idx="54">
                  <c:v>9515</c:v>
                </c:pt>
                <c:pt idx="55">
                  <c:v>9786</c:v>
                </c:pt>
                <c:pt idx="56">
                  <c:v>12629</c:v>
                </c:pt>
                <c:pt idx="57">
                  <c:v>12843</c:v>
                </c:pt>
                <c:pt idx="58">
                  <c:v>12140</c:v>
                </c:pt>
                <c:pt idx="59">
                  <c:v>12333</c:v>
                </c:pt>
                <c:pt idx="60">
                  <c:v>12080</c:v>
                </c:pt>
                <c:pt idx="61">
                  <c:v>9759</c:v>
                </c:pt>
                <c:pt idx="62">
                  <c:v>9035</c:v>
                </c:pt>
                <c:pt idx="63">
                  <c:v>11956</c:v>
                </c:pt>
                <c:pt idx="64">
                  <c:v>13720</c:v>
                </c:pt>
                <c:pt idx="65">
                  <c:v>13987</c:v>
                </c:pt>
                <c:pt idx="66">
                  <c:v>14097</c:v>
                </c:pt>
                <c:pt idx="67">
                  <c:v>14462</c:v>
                </c:pt>
                <c:pt idx="68">
                  <c:v>14247</c:v>
                </c:pt>
                <c:pt idx="69">
                  <c:v>15246</c:v>
                </c:pt>
                <c:pt idx="70">
                  <c:v>15558</c:v>
                </c:pt>
                <c:pt idx="71">
                  <c:v>16141</c:v>
                </c:pt>
                <c:pt idx="72">
                  <c:v>15576</c:v>
                </c:pt>
                <c:pt idx="73">
                  <c:v>13210</c:v>
                </c:pt>
                <c:pt idx="74">
                  <c:v>12894</c:v>
                </c:pt>
                <c:pt idx="75">
                  <c:v>10525</c:v>
                </c:pt>
                <c:pt idx="76">
                  <c:v>10338</c:v>
                </c:pt>
                <c:pt idx="77">
                  <c:v>14467</c:v>
                </c:pt>
                <c:pt idx="78">
                  <c:v>14231</c:v>
                </c:pt>
                <c:pt idx="79">
                  <c:v>13524</c:v>
                </c:pt>
                <c:pt idx="80">
                  <c:v>12810</c:v>
                </c:pt>
                <c:pt idx="81">
                  <c:v>14577</c:v>
                </c:pt>
                <c:pt idx="82">
                  <c:v>15274</c:v>
                </c:pt>
                <c:pt idx="83">
                  <c:v>17077</c:v>
                </c:pt>
                <c:pt idx="84">
                  <c:v>16657</c:v>
                </c:pt>
                <c:pt idx="85">
                  <c:v>13267</c:v>
                </c:pt>
                <c:pt idx="86">
                  <c:v>13901</c:v>
                </c:pt>
                <c:pt idx="87">
                  <c:v>13186</c:v>
                </c:pt>
                <c:pt idx="88">
                  <c:v>11718</c:v>
                </c:pt>
                <c:pt idx="89">
                  <c:v>10388</c:v>
                </c:pt>
                <c:pt idx="90">
                  <c:v>9515</c:v>
                </c:pt>
                <c:pt idx="91">
                  <c:v>12130</c:v>
                </c:pt>
                <c:pt idx="92">
                  <c:v>13125</c:v>
                </c:pt>
                <c:pt idx="93">
                  <c:v>12423</c:v>
                </c:pt>
                <c:pt idx="94">
                  <c:v>13139</c:v>
                </c:pt>
                <c:pt idx="95">
                  <c:v>12169</c:v>
                </c:pt>
                <c:pt idx="96">
                  <c:v>8836</c:v>
                </c:pt>
                <c:pt idx="97">
                  <c:v>8439</c:v>
                </c:pt>
                <c:pt idx="98">
                  <c:v>10544</c:v>
                </c:pt>
                <c:pt idx="99">
                  <c:v>11662</c:v>
                </c:pt>
                <c:pt idx="100">
                  <c:v>12540</c:v>
                </c:pt>
                <c:pt idx="101">
                  <c:v>12568</c:v>
                </c:pt>
                <c:pt idx="102">
                  <c:v>10883</c:v>
                </c:pt>
                <c:pt idx="103">
                  <c:v>8913</c:v>
                </c:pt>
                <c:pt idx="104">
                  <c:v>8942</c:v>
                </c:pt>
                <c:pt idx="105">
                  <c:v>11942</c:v>
                </c:pt>
                <c:pt idx="106">
                  <c:v>13047</c:v>
                </c:pt>
                <c:pt idx="107">
                  <c:v>12332</c:v>
                </c:pt>
                <c:pt idx="108">
                  <c:v>11813</c:v>
                </c:pt>
                <c:pt idx="109">
                  <c:v>11087</c:v>
                </c:pt>
                <c:pt idx="110">
                  <c:v>9401</c:v>
                </c:pt>
                <c:pt idx="111">
                  <c:v>8822</c:v>
                </c:pt>
                <c:pt idx="112">
                  <c:v>11141</c:v>
                </c:pt>
                <c:pt idx="113">
                  <c:v>12229</c:v>
                </c:pt>
                <c:pt idx="114">
                  <c:v>11482</c:v>
                </c:pt>
                <c:pt idx="115">
                  <c:v>12046</c:v>
                </c:pt>
                <c:pt idx="116">
                  <c:v>12174</c:v>
                </c:pt>
                <c:pt idx="117">
                  <c:v>9914</c:v>
                </c:pt>
                <c:pt idx="118">
                  <c:v>9579</c:v>
                </c:pt>
                <c:pt idx="119">
                  <c:v>11484</c:v>
                </c:pt>
                <c:pt idx="120">
                  <c:v>11239</c:v>
                </c:pt>
                <c:pt idx="121">
                  <c:v>10964</c:v>
                </c:pt>
                <c:pt idx="122">
                  <c:v>11521</c:v>
                </c:pt>
                <c:pt idx="123">
                  <c:v>11368</c:v>
                </c:pt>
                <c:pt idx="124">
                  <c:v>9449</c:v>
                </c:pt>
                <c:pt idx="125">
                  <c:v>9090</c:v>
                </c:pt>
                <c:pt idx="126">
                  <c:v>11597</c:v>
                </c:pt>
                <c:pt idx="127">
                  <c:v>12698</c:v>
                </c:pt>
                <c:pt idx="128">
                  <c:v>13129</c:v>
                </c:pt>
                <c:pt idx="129">
                  <c:v>13614</c:v>
                </c:pt>
                <c:pt idx="130">
                  <c:v>13850</c:v>
                </c:pt>
                <c:pt idx="131">
                  <c:v>10393</c:v>
                </c:pt>
                <c:pt idx="132">
                  <c:v>10538</c:v>
                </c:pt>
                <c:pt idx="133">
                  <c:v>12929</c:v>
                </c:pt>
                <c:pt idx="134">
                  <c:v>13767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9-FB43-8867-BB51768D4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dd\.mm" sourceLinked="0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Конверсия в покупку по дням недели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Конверсия</c:v>
          </c:tx>
          <c:invertIfNegative val="0"/>
          <c:cat>
            <c:strRef>
              <c:f>'Дни недели'!$A$2:$A$8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'Дни недели'!$D$2:$D$8</c:f>
              <c:numCache>
                <c:formatCode>0.00%</c:formatCode>
                <c:ptCount val="7"/>
                <c:pt idx="0">
                  <c:v>8.3124650800094867E-3</c:v>
                </c:pt>
                <c:pt idx="1">
                  <c:v>9.2331280274476051E-3</c:v>
                </c:pt>
                <c:pt idx="2">
                  <c:v>9.2079032828526405E-3</c:v>
                </c:pt>
                <c:pt idx="3">
                  <c:v>8.9151159743152929E-3</c:v>
                </c:pt>
                <c:pt idx="4">
                  <c:v>7.5312333522366002E-3</c:v>
                </c:pt>
                <c:pt idx="5">
                  <c:v>6.2756979008872539E-3</c:v>
                </c:pt>
                <c:pt idx="6">
                  <c:v>6.1917398108457507E-3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0-EB43-9F5F-0C8B5E3BA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0.0%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533400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36.6640625" customWidth="1"/>
    <col min="2" max="2" width="24.6640625" customWidth="1"/>
  </cols>
  <sheetData>
    <row r="1" spans="1:2" ht="19" x14ac:dyDescent="0.25">
      <c r="A1" s="1" t="s">
        <v>27</v>
      </c>
    </row>
    <row r="3" spans="1:2" x14ac:dyDescent="0.2">
      <c r="A3" t="s">
        <v>28</v>
      </c>
      <c r="B3" t="s">
        <v>29</v>
      </c>
    </row>
    <row r="4" spans="1:2" x14ac:dyDescent="0.2">
      <c r="A4" t="s">
        <v>30</v>
      </c>
      <c r="B4" s="2">
        <f>Воронка!B2</f>
        <v>1404018</v>
      </c>
    </row>
    <row r="5" spans="1:2" x14ac:dyDescent="0.2">
      <c r="A5" t="s">
        <v>31</v>
      </c>
      <c r="B5" s="2">
        <f>Воронка!B4</f>
        <v>9682</v>
      </c>
    </row>
    <row r="6" spans="1:2" x14ac:dyDescent="0.2">
      <c r="A6" t="s">
        <v>32</v>
      </c>
      <c r="B6" s="3">
        <f>Воронка!B4/Воронка!B2</f>
        <v>6.8959229867423351E-3</v>
      </c>
    </row>
    <row r="7" spans="1:2" x14ac:dyDescent="0.2">
      <c r="A7" t="s">
        <v>33</v>
      </c>
      <c r="B7" s="3">
        <f>Воронка!C4</f>
        <v>0.30028223180225166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3203125" defaultRowHeight="15" x14ac:dyDescent="0.2"/>
  <cols>
    <col min="1" max="1" width="18.6640625" customWidth="1"/>
    <col min="2" max="2" width="14.6640625" style="2" customWidth="1"/>
    <col min="3" max="4" width="22.6640625" style="3" customWidth="1"/>
  </cols>
  <sheetData>
    <row r="1" spans="1:4" ht="32" customHeight="1" x14ac:dyDescent="0.2">
      <c r="A1" s="4" t="s">
        <v>3</v>
      </c>
      <c r="B1" s="4" t="s">
        <v>4</v>
      </c>
      <c r="C1" s="4" t="s">
        <v>5</v>
      </c>
      <c r="D1" s="4" t="s">
        <v>6</v>
      </c>
    </row>
    <row r="2" spans="1:4" x14ac:dyDescent="0.2">
      <c r="A2" t="s">
        <v>0</v>
      </c>
      <c r="B2" s="2">
        <v>1404018</v>
      </c>
      <c r="D2" s="3">
        <f>B2/$B$2</f>
        <v>1</v>
      </c>
    </row>
    <row r="3" spans="1:4" x14ac:dyDescent="0.2">
      <c r="A3" t="s">
        <v>1</v>
      </c>
      <c r="B3" s="2">
        <v>32243</v>
      </c>
      <c r="C3" s="3">
        <f>B3/B2</f>
        <v>2.2964805294519015E-2</v>
      </c>
      <c r="D3" s="3">
        <f>B3/$B$2</f>
        <v>2.2964805294519015E-2</v>
      </c>
    </row>
    <row r="4" spans="1:4" x14ac:dyDescent="0.2">
      <c r="A4" t="s">
        <v>2</v>
      </c>
      <c r="B4" s="2">
        <v>9682</v>
      </c>
      <c r="C4" s="3">
        <f>B4/B3</f>
        <v>0.30028223180225166</v>
      </c>
      <c r="D4" s="3">
        <f>B4/$B$2</f>
        <v>6.8959229867423351E-3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6640625" customWidth="1"/>
    <col min="2" max="5" width="16.6640625" customWidth="1"/>
  </cols>
  <sheetData>
    <row r="1" spans="1:5" ht="32" x14ac:dyDescent="0.2">
      <c r="A1" s="4" t="s">
        <v>7</v>
      </c>
      <c r="B1" s="4" t="s">
        <v>4</v>
      </c>
      <c r="C1" s="4" t="s">
        <v>8</v>
      </c>
      <c r="D1" s="4" t="s">
        <v>9</v>
      </c>
      <c r="E1" s="4" t="s">
        <v>10</v>
      </c>
    </row>
    <row r="2" spans="1:5" x14ac:dyDescent="0.2">
      <c r="A2" s="5">
        <v>42128</v>
      </c>
      <c r="B2">
        <v>10707</v>
      </c>
      <c r="C2">
        <v>278</v>
      </c>
      <c r="D2">
        <v>85</v>
      </c>
      <c r="E2">
        <v>0.79400000000000004</v>
      </c>
    </row>
    <row r="3" spans="1:5" x14ac:dyDescent="0.2">
      <c r="A3" s="5">
        <v>42129</v>
      </c>
      <c r="B3">
        <v>13037</v>
      </c>
      <c r="C3">
        <v>397</v>
      </c>
      <c r="D3">
        <v>156</v>
      </c>
      <c r="E3">
        <v>1.1970000000000001</v>
      </c>
    </row>
    <row r="4" spans="1:5" x14ac:dyDescent="0.2">
      <c r="A4" s="5">
        <v>42130</v>
      </c>
      <c r="B4">
        <v>13351</v>
      </c>
      <c r="C4">
        <v>379</v>
      </c>
      <c r="D4">
        <v>150</v>
      </c>
      <c r="E4">
        <v>1.1240000000000001</v>
      </c>
    </row>
    <row r="5" spans="1:5" x14ac:dyDescent="0.2">
      <c r="A5" s="5">
        <v>42131</v>
      </c>
      <c r="B5">
        <v>13268</v>
      </c>
      <c r="C5">
        <v>352</v>
      </c>
      <c r="D5">
        <v>133</v>
      </c>
      <c r="E5">
        <v>1.002</v>
      </c>
    </row>
    <row r="6" spans="1:5" x14ac:dyDescent="0.2">
      <c r="A6" s="5">
        <v>42132</v>
      </c>
      <c r="B6">
        <v>11608</v>
      </c>
      <c r="C6">
        <v>320</v>
      </c>
      <c r="D6">
        <v>82</v>
      </c>
      <c r="E6">
        <v>0.70599999999999996</v>
      </c>
    </row>
    <row r="7" spans="1:5" x14ac:dyDescent="0.2">
      <c r="A7" s="5">
        <v>42133</v>
      </c>
      <c r="B7">
        <v>8285</v>
      </c>
      <c r="C7">
        <v>183</v>
      </c>
      <c r="D7">
        <v>54</v>
      </c>
      <c r="E7">
        <v>0.65200000000000002</v>
      </c>
    </row>
    <row r="8" spans="1:5" x14ac:dyDescent="0.2">
      <c r="A8" s="5">
        <v>42134</v>
      </c>
      <c r="B8">
        <v>7051</v>
      </c>
      <c r="C8">
        <v>166</v>
      </c>
      <c r="D8">
        <v>39</v>
      </c>
      <c r="E8">
        <v>0.55300000000000005</v>
      </c>
    </row>
    <row r="9" spans="1:5" x14ac:dyDescent="0.2">
      <c r="A9" s="5">
        <v>42135</v>
      </c>
      <c r="B9">
        <v>9155</v>
      </c>
      <c r="C9">
        <v>202</v>
      </c>
      <c r="D9">
        <v>55</v>
      </c>
      <c r="E9">
        <v>0.60099999999999998</v>
      </c>
    </row>
    <row r="10" spans="1:5" x14ac:dyDescent="0.2">
      <c r="A10" s="5">
        <v>42136</v>
      </c>
      <c r="B10">
        <v>12253</v>
      </c>
      <c r="C10">
        <v>324</v>
      </c>
      <c r="D10">
        <v>106</v>
      </c>
      <c r="E10">
        <v>0.86499999999999999</v>
      </c>
    </row>
    <row r="11" spans="1:5" x14ac:dyDescent="0.2">
      <c r="A11" s="5">
        <v>42137</v>
      </c>
      <c r="B11">
        <v>13375</v>
      </c>
      <c r="C11">
        <v>339</v>
      </c>
      <c r="D11">
        <v>123</v>
      </c>
      <c r="E11">
        <v>0.92</v>
      </c>
    </row>
    <row r="12" spans="1:5" x14ac:dyDescent="0.2">
      <c r="A12" s="5">
        <v>42138</v>
      </c>
      <c r="B12">
        <v>13668</v>
      </c>
      <c r="C12">
        <v>412</v>
      </c>
      <c r="D12">
        <v>140</v>
      </c>
      <c r="E12">
        <v>1.024</v>
      </c>
    </row>
    <row r="13" spans="1:5" x14ac:dyDescent="0.2">
      <c r="A13" s="5">
        <v>42139</v>
      </c>
      <c r="B13">
        <v>13055</v>
      </c>
      <c r="C13">
        <v>349</v>
      </c>
      <c r="D13">
        <v>115</v>
      </c>
      <c r="E13">
        <v>0.88100000000000001</v>
      </c>
    </row>
    <row r="14" spans="1:5" x14ac:dyDescent="0.2">
      <c r="A14" s="5">
        <v>42140</v>
      </c>
      <c r="B14">
        <v>11576</v>
      </c>
      <c r="C14">
        <v>298</v>
      </c>
      <c r="D14">
        <v>107</v>
      </c>
      <c r="E14">
        <v>0.92400000000000004</v>
      </c>
    </row>
    <row r="15" spans="1:5" x14ac:dyDescent="0.2">
      <c r="A15" s="5">
        <v>42141</v>
      </c>
      <c r="B15">
        <v>11765</v>
      </c>
      <c r="C15">
        <v>310</v>
      </c>
      <c r="D15">
        <v>106</v>
      </c>
      <c r="E15">
        <v>0.90100000000000002</v>
      </c>
    </row>
    <row r="16" spans="1:5" x14ac:dyDescent="0.2">
      <c r="A16" s="5">
        <v>42142</v>
      </c>
      <c r="B16">
        <v>14929</v>
      </c>
      <c r="C16">
        <v>390</v>
      </c>
      <c r="D16">
        <v>135</v>
      </c>
      <c r="E16">
        <v>0.90400000000000003</v>
      </c>
    </row>
    <row r="17" spans="1:5" x14ac:dyDescent="0.2">
      <c r="A17" s="5">
        <v>42143</v>
      </c>
      <c r="B17">
        <v>15396</v>
      </c>
      <c r="C17">
        <v>384</v>
      </c>
      <c r="D17">
        <v>117</v>
      </c>
      <c r="E17">
        <v>0.76</v>
      </c>
    </row>
    <row r="18" spans="1:5" x14ac:dyDescent="0.2">
      <c r="A18" s="5">
        <v>42144</v>
      </c>
      <c r="B18">
        <v>13842</v>
      </c>
      <c r="C18">
        <v>294</v>
      </c>
      <c r="D18">
        <v>95</v>
      </c>
      <c r="E18">
        <v>0.68600000000000005</v>
      </c>
    </row>
    <row r="19" spans="1:5" x14ac:dyDescent="0.2">
      <c r="A19" s="5">
        <v>42145</v>
      </c>
      <c r="B19">
        <v>12870</v>
      </c>
      <c r="C19">
        <v>268</v>
      </c>
      <c r="D19">
        <v>88</v>
      </c>
      <c r="E19">
        <v>0.68400000000000005</v>
      </c>
    </row>
    <row r="20" spans="1:5" x14ac:dyDescent="0.2">
      <c r="A20" s="5">
        <v>42146</v>
      </c>
      <c r="B20">
        <v>12514</v>
      </c>
      <c r="C20">
        <v>274</v>
      </c>
      <c r="D20">
        <v>91</v>
      </c>
      <c r="E20">
        <v>0.72699999999999998</v>
      </c>
    </row>
    <row r="21" spans="1:5" x14ac:dyDescent="0.2">
      <c r="A21" s="5">
        <v>42147</v>
      </c>
      <c r="B21">
        <v>10094</v>
      </c>
      <c r="C21">
        <v>205</v>
      </c>
      <c r="D21">
        <v>65</v>
      </c>
      <c r="E21">
        <v>0.64400000000000002</v>
      </c>
    </row>
    <row r="22" spans="1:5" x14ac:dyDescent="0.2">
      <c r="A22" s="5">
        <v>42148</v>
      </c>
      <c r="B22">
        <v>10192</v>
      </c>
      <c r="C22">
        <v>243</v>
      </c>
      <c r="D22">
        <v>73</v>
      </c>
      <c r="E22">
        <v>0.71599999999999997</v>
      </c>
    </row>
    <row r="23" spans="1:5" x14ac:dyDescent="0.2">
      <c r="A23" s="5">
        <v>42149</v>
      </c>
      <c r="B23">
        <v>13127</v>
      </c>
      <c r="C23">
        <v>317</v>
      </c>
      <c r="D23">
        <v>94</v>
      </c>
      <c r="E23">
        <v>0.71599999999999997</v>
      </c>
    </row>
    <row r="24" spans="1:5" x14ac:dyDescent="0.2">
      <c r="A24" s="5">
        <v>42150</v>
      </c>
      <c r="B24">
        <v>13377</v>
      </c>
      <c r="C24">
        <v>362</v>
      </c>
      <c r="D24">
        <v>120</v>
      </c>
      <c r="E24">
        <v>0.89700000000000002</v>
      </c>
    </row>
    <row r="25" spans="1:5" x14ac:dyDescent="0.2">
      <c r="A25" s="5">
        <v>42151</v>
      </c>
      <c r="B25">
        <v>12759</v>
      </c>
      <c r="C25">
        <v>330</v>
      </c>
      <c r="D25">
        <v>125</v>
      </c>
      <c r="E25">
        <v>0.98</v>
      </c>
    </row>
    <row r="26" spans="1:5" x14ac:dyDescent="0.2">
      <c r="A26" s="5">
        <v>42152</v>
      </c>
      <c r="B26">
        <v>12984</v>
      </c>
      <c r="C26">
        <v>341</v>
      </c>
      <c r="D26">
        <v>122</v>
      </c>
      <c r="E26">
        <v>0.94</v>
      </c>
    </row>
    <row r="27" spans="1:5" x14ac:dyDescent="0.2">
      <c r="A27" s="5">
        <v>42153</v>
      </c>
      <c r="B27">
        <v>12181</v>
      </c>
      <c r="C27">
        <v>269</v>
      </c>
      <c r="D27">
        <v>84</v>
      </c>
      <c r="E27">
        <v>0.69</v>
      </c>
    </row>
    <row r="28" spans="1:5" x14ac:dyDescent="0.2">
      <c r="A28" s="5">
        <v>42154</v>
      </c>
      <c r="B28">
        <v>10188</v>
      </c>
      <c r="C28">
        <v>240</v>
      </c>
      <c r="D28">
        <v>71</v>
      </c>
      <c r="E28">
        <v>0.69699999999999995</v>
      </c>
    </row>
    <row r="29" spans="1:5" x14ac:dyDescent="0.2">
      <c r="A29" s="5">
        <v>42155</v>
      </c>
      <c r="B29">
        <v>9735</v>
      </c>
      <c r="C29">
        <v>248</v>
      </c>
      <c r="D29">
        <v>68</v>
      </c>
      <c r="E29">
        <v>0.69899999999999995</v>
      </c>
    </row>
    <row r="30" spans="1:5" x14ac:dyDescent="0.2">
      <c r="A30" s="5">
        <v>42156</v>
      </c>
      <c r="B30">
        <v>12404</v>
      </c>
      <c r="C30">
        <v>312</v>
      </c>
      <c r="D30">
        <v>110</v>
      </c>
      <c r="E30">
        <v>0.88700000000000001</v>
      </c>
    </row>
    <row r="31" spans="1:5" x14ac:dyDescent="0.2">
      <c r="A31" s="5">
        <v>42157</v>
      </c>
      <c r="B31">
        <v>13808</v>
      </c>
      <c r="C31">
        <v>354</v>
      </c>
      <c r="D31">
        <v>137</v>
      </c>
      <c r="E31">
        <v>0.99199999999999999</v>
      </c>
    </row>
    <row r="32" spans="1:5" x14ac:dyDescent="0.2">
      <c r="A32" s="5">
        <v>42158</v>
      </c>
      <c r="B32">
        <v>13334</v>
      </c>
      <c r="C32">
        <v>324</v>
      </c>
      <c r="D32">
        <v>117</v>
      </c>
      <c r="E32">
        <v>0.877</v>
      </c>
    </row>
    <row r="33" spans="1:5" x14ac:dyDescent="0.2">
      <c r="A33" s="5">
        <v>42159</v>
      </c>
      <c r="B33">
        <v>13032</v>
      </c>
      <c r="C33">
        <v>396</v>
      </c>
      <c r="D33">
        <v>117</v>
      </c>
      <c r="E33">
        <v>0.89800000000000002</v>
      </c>
    </row>
    <row r="34" spans="1:5" x14ac:dyDescent="0.2">
      <c r="A34" s="5">
        <v>42160</v>
      </c>
      <c r="B34">
        <v>12513</v>
      </c>
      <c r="C34">
        <v>308</v>
      </c>
      <c r="D34">
        <v>88</v>
      </c>
      <c r="E34">
        <v>0.70299999999999996</v>
      </c>
    </row>
    <row r="35" spans="1:5" x14ac:dyDescent="0.2">
      <c r="A35" s="5">
        <v>42161</v>
      </c>
      <c r="B35">
        <v>10087</v>
      </c>
      <c r="C35">
        <v>257</v>
      </c>
      <c r="D35">
        <v>68</v>
      </c>
      <c r="E35">
        <v>0.67400000000000004</v>
      </c>
    </row>
    <row r="36" spans="1:5" x14ac:dyDescent="0.2">
      <c r="A36" s="5">
        <v>42162</v>
      </c>
      <c r="B36">
        <v>9482</v>
      </c>
      <c r="C36">
        <v>207</v>
      </c>
      <c r="D36">
        <v>59</v>
      </c>
      <c r="E36">
        <v>0.622</v>
      </c>
    </row>
    <row r="37" spans="1:5" x14ac:dyDescent="0.2">
      <c r="A37" s="5">
        <v>42163</v>
      </c>
      <c r="B37">
        <v>11604</v>
      </c>
      <c r="C37">
        <v>293</v>
      </c>
      <c r="D37">
        <v>103</v>
      </c>
      <c r="E37">
        <v>0.88800000000000001</v>
      </c>
    </row>
    <row r="38" spans="1:5" x14ac:dyDescent="0.2">
      <c r="A38" s="5">
        <v>42164</v>
      </c>
      <c r="B38">
        <v>13657</v>
      </c>
      <c r="C38">
        <v>316</v>
      </c>
      <c r="D38">
        <v>96</v>
      </c>
      <c r="E38">
        <v>0.70299999999999996</v>
      </c>
    </row>
    <row r="39" spans="1:5" x14ac:dyDescent="0.2">
      <c r="A39" s="5">
        <v>42165</v>
      </c>
      <c r="B39">
        <v>13825</v>
      </c>
      <c r="C39">
        <v>336</v>
      </c>
      <c r="D39">
        <v>102</v>
      </c>
      <c r="E39">
        <v>0.73799999999999999</v>
      </c>
    </row>
    <row r="40" spans="1:5" x14ac:dyDescent="0.2">
      <c r="A40" s="5">
        <v>42166</v>
      </c>
      <c r="B40">
        <v>13052</v>
      </c>
      <c r="C40">
        <v>330</v>
      </c>
      <c r="D40">
        <v>100</v>
      </c>
      <c r="E40">
        <v>0.76600000000000001</v>
      </c>
    </row>
    <row r="41" spans="1:5" x14ac:dyDescent="0.2">
      <c r="A41" s="5">
        <v>42167</v>
      </c>
      <c r="B41">
        <v>9867</v>
      </c>
      <c r="C41">
        <v>211</v>
      </c>
      <c r="D41">
        <v>57</v>
      </c>
      <c r="E41">
        <v>0.57799999999999996</v>
      </c>
    </row>
    <row r="42" spans="1:5" x14ac:dyDescent="0.2">
      <c r="A42" s="5">
        <v>42168</v>
      </c>
      <c r="B42">
        <v>8035</v>
      </c>
      <c r="C42">
        <v>206</v>
      </c>
      <c r="D42">
        <v>53</v>
      </c>
      <c r="E42">
        <v>0.66</v>
      </c>
    </row>
    <row r="43" spans="1:5" x14ac:dyDescent="0.2">
      <c r="A43" s="5">
        <v>42169</v>
      </c>
      <c r="B43">
        <v>7417</v>
      </c>
      <c r="C43">
        <v>189</v>
      </c>
      <c r="D43">
        <v>56</v>
      </c>
      <c r="E43">
        <v>0.755</v>
      </c>
    </row>
    <row r="44" spans="1:5" x14ac:dyDescent="0.2">
      <c r="A44" s="5">
        <v>42170</v>
      </c>
      <c r="B44">
        <v>11693</v>
      </c>
      <c r="C44">
        <v>317</v>
      </c>
      <c r="D44">
        <v>97</v>
      </c>
      <c r="E44">
        <v>0.83</v>
      </c>
    </row>
    <row r="45" spans="1:5" x14ac:dyDescent="0.2">
      <c r="A45" s="5">
        <v>42171</v>
      </c>
      <c r="B45">
        <v>13572</v>
      </c>
      <c r="C45">
        <v>461</v>
      </c>
      <c r="D45">
        <v>161</v>
      </c>
      <c r="E45">
        <v>1.1859999999999999</v>
      </c>
    </row>
    <row r="46" spans="1:5" x14ac:dyDescent="0.2">
      <c r="A46" s="5">
        <v>42172</v>
      </c>
      <c r="B46">
        <v>13635</v>
      </c>
      <c r="C46">
        <v>435</v>
      </c>
      <c r="D46">
        <v>169</v>
      </c>
      <c r="E46">
        <v>1.2390000000000001</v>
      </c>
    </row>
    <row r="47" spans="1:5" x14ac:dyDescent="0.2">
      <c r="A47" s="5">
        <v>42173</v>
      </c>
      <c r="B47">
        <v>13182</v>
      </c>
      <c r="C47">
        <v>394</v>
      </c>
      <c r="D47">
        <v>138</v>
      </c>
      <c r="E47">
        <v>1.0469999999999999</v>
      </c>
    </row>
    <row r="48" spans="1:5" x14ac:dyDescent="0.2">
      <c r="A48" s="5">
        <v>42174</v>
      </c>
      <c r="B48">
        <v>11920</v>
      </c>
      <c r="C48">
        <v>328</v>
      </c>
      <c r="D48">
        <v>87</v>
      </c>
      <c r="E48">
        <v>0.73</v>
      </c>
    </row>
    <row r="49" spans="1:5" x14ac:dyDescent="0.2">
      <c r="A49" s="5">
        <v>42175</v>
      </c>
      <c r="B49">
        <v>9203</v>
      </c>
      <c r="C49">
        <v>233</v>
      </c>
      <c r="D49">
        <v>66</v>
      </c>
      <c r="E49">
        <v>0.71699999999999997</v>
      </c>
    </row>
    <row r="50" spans="1:5" x14ac:dyDescent="0.2">
      <c r="A50" s="5">
        <v>42176</v>
      </c>
      <c r="B50">
        <v>9012</v>
      </c>
      <c r="C50">
        <v>228</v>
      </c>
      <c r="D50">
        <v>52</v>
      </c>
      <c r="E50">
        <v>0.57699999999999996</v>
      </c>
    </row>
    <row r="51" spans="1:5" x14ac:dyDescent="0.2">
      <c r="A51" s="5">
        <v>42177</v>
      </c>
      <c r="B51">
        <v>12130</v>
      </c>
      <c r="C51">
        <v>321</v>
      </c>
      <c r="D51">
        <v>128</v>
      </c>
      <c r="E51">
        <v>1.0549999999999999</v>
      </c>
    </row>
    <row r="52" spans="1:5" x14ac:dyDescent="0.2">
      <c r="A52" s="5">
        <v>42178</v>
      </c>
      <c r="B52">
        <v>13038</v>
      </c>
      <c r="C52">
        <v>396</v>
      </c>
      <c r="D52">
        <v>149</v>
      </c>
      <c r="E52">
        <v>1.143</v>
      </c>
    </row>
    <row r="53" spans="1:5" x14ac:dyDescent="0.2">
      <c r="A53" s="5">
        <v>42179</v>
      </c>
      <c r="B53">
        <v>12689</v>
      </c>
      <c r="C53">
        <v>379</v>
      </c>
      <c r="D53">
        <v>109</v>
      </c>
      <c r="E53">
        <v>0.85899999999999999</v>
      </c>
    </row>
    <row r="54" spans="1:5" x14ac:dyDescent="0.2">
      <c r="A54" s="5">
        <v>42180</v>
      </c>
      <c r="B54">
        <v>11799</v>
      </c>
      <c r="C54">
        <v>336</v>
      </c>
      <c r="D54">
        <v>127</v>
      </c>
      <c r="E54">
        <v>1.0760000000000001</v>
      </c>
    </row>
    <row r="55" spans="1:5" x14ac:dyDescent="0.2">
      <c r="A55" s="5">
        <v>42181</v>
      </c>
      <c r="B55">
        <v>11844</v>
      </c>
      <c r="C55">
        <v>332</v>
      </c>
      <c r="D55">
        <v>124</v>
      </c>
      <c r="E55">
        <v>1.0469999999999999</v>
      </c>
    </row>
    <row r="56" spans="1:5" x14ac:dyDescent="0.2">
      <c r="A56" s="5">
        <v>42182</v>
      </c>
      <c r="B56">
        <v>9515</v>
      </c>
      <c r="C56">
        <v>214</v>
      </c>
      <c r="D56">
        <v>55</v>
      </c>
      <c r="E56">
        <v>0.57799999999999996</v>
      </c>
    </row>
    <row r="57" spans="1:5" x14ac:dyDescent="0.2">
      <c r="A57" s="5">
        <v>42183</v>
      </c>
      <c r="B57">
        <v>9786</v>
      </c>
      <c r="C57">
        <v>227</v>
      </c>
      <c r="D57">
        <v>56</v>
      </c>
      <c r="E57">
        <v>0.57199999999999995</v>
      </c>
    </row>
    <row r="58" spans="1:5" x14ac:dyDescent="0.2">
      <c r="A58" s="5">
        <v>42184</v>
      </c>
      <c r="B58">
        <v>12629</v>
      </c>
      <c r="C58">
        <v>310</v>
      </c>
      <c r="D58">
        <v>107</v>
      </c>
      <c r="E58">
        <v>0.84699999999999998</v>
      </c>
    </row>
    <row r="59" spans="1:5" x14ac:dyDescent="0.2">
      <c r="A59" s="5">
        <v>42185</v>
      </c>
      <c r="B59">
        <v>12843</v>
      </c>
      <c r="C59">
        <v>342</v>
      </c>
      <c r="D59">
        <v>117</v>
      </c>
      <c r="E59">
        <v>0.91100000000000003</v>
      </c>
    </row>
    <row r="60" spans="1:5" x14ac:dyDescent="0.2">
      <c r="A60" s="5">
        <v>42186</v>
      </c>
      <c r="B60">
        <v>12140</v>
      </c>
      <c r="C60">
        <v>298</v>
      </c>
      <c r="D60">
        <v>114</v>
      </c>
      <c r="E60">
        <v>0.93899999999999995</v>
      </c>
    </row>
    <row r="61" spans="1:5" x14ac:dyDescent="0.2">
      <c r="A61" s="5">
        <v>42187</v>
      </c>
      <c r="B61">
        <v>12333</v>
      </c>
      <c r="C61">
        <v>308</v>
      </c>
      <c r="D61">
        <v>108</v>
      </c>
      <c r="E61">
        <v>0.876</v>
      </c>
    </row>
    <row r="62" spans="1:5" x14ac:dyDescent="0.2">
      <c r="A62" s="5">
        <v>42188</v>
      </c>
      <c r="B62">
        <v>12080</v>
      </c>
      <c r="C62">
        <v>287</v>
      </c>
      <c r="D62">
        <v>92</v>
      </c>
      <c r="E62">
        <v>0.76200000000000001</v>
      </c>
    </row>
    <row r="63" spans="1:5" x14ac:dyDescent="0.2">
      <c r="A63" s="5">
        <v>42189</v>
      </c>
      <c r="B63">
        <v>9759</v>
      </c>
      <c r="C63">
        <v>230</v>
      </c>
      <c r="D63">
        <v>76</v>
      </c>
      <c r="E63">
        <v>0.77900000000000003</v>
      </c>
    </row>
    <row r="64" spans="1:5" x14ac:dyDescent="0.2">
      <c r="A64" s="5">
        <v>42190</v>
      </c>
      <c r="B64">
        <v>9035</v>
      </c>
      <c r="C64">
        <v>229</v>
      </c>
      <c r="D64">
        <v>48</v>
      </c>
      <c r="E64">
        <v>0.53100000000000003</v>
      </c>
    </row>
    <row r="65" spans="1:5" x14ac:dyDescent="0.2">
      <c r="A65" s="5">
        <v>42191</v>
      </c>
      <c r="B65">
        <v>11956</v>
      </c>
      <c r="C65">
        <v>361</v>
      </c>
      <c r="D65">
        <v>126</v>
      </c>
      <c r="E65">
        <v>1.054</v>
      </c>
    </row>
    <row r="66" spans="1:5" x14ac:dyDescent="0.2">
      <c r="A66" s="5">
        <v>42192</v>
      </c>
      <c r="B66">
        <v>13720</v>
      </c>
      <c r="C66">
        <v>408</v>
      </c>
      <c r="D66">
        <v>131</v>
      </c>
      <c r="E66">
        <v>0.95499999999999996</v>
      </c>
    </row>
    <row r="67" spans="1:5" x14ac:dyDescent="0.2">
      <c r="A67" s="5">
        <v>42193</v>
      </c>
      <c r="B67">
        <v>13987</v>
      </c>
      <c r="C67">
        <v>389</v>
      </c>
      <c r="D67">
        <v>135</v>
      </c>
      <c r="E67">
        <v>0.96499999999999997</v>
      </c>
    </row>
    <row r="68" spans="1:5" x14ac:dyDescent="0.2">
      <c r="A68" s="5">
        <v>42194</v>
      </c>
      <c r="B68">
        <v>14097</v>
      </c>
      <c r="C68">
        <v>374</v>
      </c>
      <c r="D68">
        <v>122</v>
      </c>
      <c r="E68">
        <v>0.86499999999999999</v>
      </c>
    </row>
    <row r="69" spans="1:5" x14ac:dyDescent="0.2">
      <c r="A69" s="5">
        <v>42195</v>
      </c>
      <c r="B69">
        <v>14462</v>
      </c>
      <c r="C69">
        <v>357</v>
      </c>
      <c r="D69">
        <v>122</v>
      </c>
      <c r="E69">
        <v>0.84399999999999997</v>
      </c>
    </row>
    <row r="70" spans="1:5" x14ac:dyDescent="0.2">
      <c r="A70" s="5">
        <v>42196</v>
      </c>
      <c r="B70">
        <v>14247</v>
      </c>
      <c r="C70">
        <v>236</v>
      </c>
      <c r="D70">
        <v>55</v>
      </c>
      <c r="E70">
        <v>0.38600000000000001</v>
      </c>
    </row>
    <row r="71" spans="1:5" x14ac:dyDescent="0.2">
      <c r="A71" s="5">
        <v>42197</v>
      </c>
      <c r="B71">
        <v>15246</v>
      </c>
      <c r="C71">
        <v>219</v>
      </c>
      <c r="D71">
        <v>59</v>
      </c>
      <c r="E71">
        <v>0.38700000000000001</v>
      </c>
    </row>
    <row r="72" spans="1:5" x14ac:dyDescent="0.2">
      <c r="A72" s="5">
        <v>42198</v>
      </c>
      <c r="B72">
        <v>15558</v>
      </c>
      <c r="C72">
        <v>370</v>
      </c>
      <c r="D72">
        <v>119</v>
      </c>
      <c r="E72">
        <v>0.76500000000000001</v>
      </c>
    </row>
    <row r="73" spans="1:5" x14ac:dyDescent="0.2">
      <c r="A73" s="5">
        <v>42199</v>
      </c>
      <c r="B73">
        <v>16141</v>
      </c>
      <c r="C73">
        <v>387</v>
      </c>
      <c r="D73">
        <v>134</v>
      </c>
      <c r="E73">
        <v>0.83</v>
      </c>
    </row>
    <row r="74" spans="1:5" x14ac:dyDescent="0.2">
      <c r="A74" s="5">
        <v>42200</v>
      </c>
      <c r="B74">
        <v>15576</v>
      </c>
      <c r="C74">
        <v>373</v>
      </c>
      <c r="D74">
        <v>117</v>
      </c>
      <c r="E74">
        <v>0.751</v>
      </c>
    </row>
    <row r="75" spans="1:5" x14ac:dyDescent="0.2">
      <c r="A75" s="5">
        <v>42201</v>
      </c>
      <c r="B75">
        <v>13210</v>
      </c>
      <c r="C75">
        <v>301</v>
      </c>
      <c r="D75">
        <v>107</v>
      </c>
      <c r="E75">
        <v>0.81</v>
      </c>
    </row>
    <row r="76" spans="1:5" x14ac:dyDescent="0.2">
      <c r="A76" s="5">
        <v>42202</v>
      </c>
      <c r="B76">
        <v>12894</v>
      </c>
      <c r="C76">
        <v>272</v>
      </c>
      <c r="D76">
        <v>78</v>
      </c>
      <c r="E76">
        <v>0.60499999999999998</v>
      </c>
    </row>
    <row r="77" spans="1:5" x14ac:dyDescent="0.2">
      <c r="A77" s="5">
        <v>42203</v>
      </c>
      <c r="B77">
        <v>10525</v>
      </c>
      <c r="C77">
        <v>261</v>
      </c>
      <c r="D77">
        <v>69</v>
      </c>
      <c r="E77">
        <v>0.65600000000000003</v>
      </c>
    </row>
    <row r="78" spans="1:5" x14ac:dyDescent="0.2">
      <c r="A78" s="5">
        <v>42204</v>
      </c>
      <c r="B78">
        <v>10338</v>
      </c>
      <c r="C78">
        <v>230</v>
      </c>
      <c r="D78">
        <v>69</v>
      </c>
      <c r="E78">
        <v>0.66700000000000004</v>
      </c>
    </row>
    <row r="79" spans="1:5" x14ac:dyDescent="0.2">
      <c r="A79" s="5">
        <v>42205</v>
      </c>
      <c r="B79">
        <v>14467</v>
      </c>
      <c r="C79">
        <v>392</v>
      </c>
      <c r="D79">
        <v>125</v>
      </c>
      <c r="E79">
        <v>0.86399999999999999</v>
      </c>
    </row>
    <row r="80" spans="1:5" x14ac:dyDescent="0.2">
      <c r="A80" s="5">
        <v>42206</v>
      </c>
      <c r="B80">
        <v>14231</v>
      </c>
      <c r="C80">
        <v>398</v>
      </c>
      <c r="D80">
        <v>144</v>
      </c>
      <c r="E80">
        <v>1.012</v>
      </c>
    </row>
    <row r="81" spans="1:5" x14ac:dyDescent="0.2">
      <c r="A81" s="5">
        <v>42207</v>
      </c>
      <c r="B81">
        <v>13524</v>
      </c>
      <c r="C81">
        <v>412</v>
      </c>
      <c r="D81">
        <v>140</v>
      </c>
      <c r="E81">
        <v>1.0349999999999999</v>
      </c>
    </row>
    <row r="82" spans="1:5" x14ac:dyDescent="0.2">
      <c r="A82" s="5">
        <v>42208</v>
      </c>
      <c r="B82">
        <v>12810</v>
      </c>
      <c r="C82">
        <v>394</v>
      </c>
      <c r="D82">
        <v>118</v>
      </c>
      <c r="E82">
        <v>0.92100000000000004</v>
      </c>
    </row>
    <row r="83" spans="1:5" x14ac:dyDescent="0.2">
      <c r="A83" s="5">
        <v>42209</v>
      </c>
      <c r="B83">
        <v>14577</v>
      </c>
      <c r="C83">
        <v>315</v>
      </c>
      <c r="D83">
        <v>88</v>
      </c>
      <c r="E83">
        <v>0.60399999999999998</v>
      </c>
    </row>
    <row r="84" spans="1:5" x14ac:dyDescent="0.2">
      <c r="A84" s="5">
        <v>42210</v>
      </c>
      <c r="B84">
        <v>15274</v>
      </c>
      <c r="C84">
        <v>269</v>
      </c>
      <c r="D84">
        <v>57</v>
      </c>
      <c r="E84">
        <v>0.373</v>
      </c>
    </row>
    <row r="85" spans="1:5" x14ac:dyDescent="0.2">
      <c r="A85" s="5">
        <v>42211</v>
      </c>
      <c r="B85">
        <v>17077</v>
      </c>
      <c r="C85">
        <v>277</v>
      </c>
      <c r="D85">
        <v>73</v>
      </c>
      <c r="E85">
        <v>0.42699999999999999</v>
      </c>
    </row>
    <row r="86" spans="1:5" x14ac:dyDescent="0.2">
      <c r="A86" s="5">
        <v>42212</v>
      </c>
      <c r="B86">
        <v>16657</v>
      </c>
      <c r="C86">
        <v>358</v>
      </c>
      <c r="D86">
        <v>117</v>
      </c>
      <c r="E86">
        <v>0.70199999999999996</v>
      </c>
    </row>
    <row r="87" spans="1:5" x14ac:dyDescent="0.2">
      <c r="A87" s="5">
        <v>42213</v>
      </c>
      <c r="B87">
        <v>13267</v>
      </c>
      <c r="C87">
        <v>442</v>
      </c>
      <c r="D87">
        <v>162</v>
      </c>
      <c r="E87">
        <v>1.2210000000000001</v>
      </c>
    </row>
    <row r="88" spans="1:5" x14ac:dyDescent="0.2">
      <c r="A88" s="5">
        <v>42214</v>
      </c>
      <c r="B88">
        <v>13901</v>
      </c>
      <c r="C88">
        <v>367</v>
      </c>
      <c r="D88">
        <v>145</v>
      </c>
      <c r="E88">
        <v>1.0429999999999999</v>
      </c>
    </row>
    <row r="89" spans="1:5" x14ac:dyDescent="0.2">
      <c r="A89" s="5">
        <v>42215</v>
      </c>
      <c r="B89">
        <v>13186</v>
      </c>
      <c r="C89">
        <v>349</v>
      </c>
      <c r="D89">
        <v>127</v>
      </c>
      <c r="E89">
        <v>0.96299999999999997</v>
      </c>
    </row>
    <row r="90" spans="1:5" x14ac:dyDescent="0.2">
      <c r="A90" s="5">
        <v>42216</v>
      </c>
      <c r="B90">
        <v>11718</v>
      </c>
      <c r="C90">
        <v>327</v>
      </c>
      <c r="D90">
        <v>94</v>
      </c>
      <c r="E90">
        <v>0.80200000000000005</v>
      </c>
    </row>
    <row r="91" spans="1:5" x14ac:dyDescent="0.2">
      <c r="A91" s="5">
        <v>42217</v>
      </c>
      <c r="B91">
        <v>10388</v>
      </c>
      <c r="C91">
        <v>255</v>
      </c>
      <c r="D91">
        <v>56</v>
      </c>
      <c r="E91">
        <v>0.53900000000000003</v>
      </c>
    </row>
    <row r="92" spans="1:5" x14ac:dyDescent="0.2">
      <c r="A92" s="5">
        <v>42218</v>
      </c>
      <c r="B92">
        <v>9515</v>
      </c>
      <c r="C92">
        <v>243</v>
      </c>
      <c r="D92">
        <v>64</v>
      </c>
      <c r="E92">
        <v>0.67300000000000004</v>
      </c>
    </row>
    <row r="93" spans="1:5" x14ac:dyDescent="0.2">
      <c r="A93" s="5">
        <v>42219</v>
      </c>
      <c r="B93">
        <v>12130</v>
      </c>
      <c r="C93">
        <v>332</v>
      </c>
      <c r="D93">
        <v>112</v>
      </c>
      <c r="E93">
        <v>0.92300000000000004</v>
      </c>
    </row>
    <row r="94" spans="1:5" x14ac:dyDescent="0.2">
      <c r="A94" s="5">
        <v>42220</v>
      </c>
      <c r="B94">
        <v>13125</v>
      </c>
      <c r="C94">
        <v>360</v>
      </c>
      <c r="D94">
        <v>127</v>
      </c>
      <c r="E94">
        <v>0.96799999999999997</v>
      </c>
    </row>
    <row r="95" spans="1:5" x14ac:dyDescent="0.2">
      <c r="A95" s="5">
        <v>42221</v>
      </c>
      <c r="B95">
        <v>12423</v>
      </c>
      <c r="C95">
        <v>349</v>
      </c>
      <c r="D95">
        <v>124</v>
      </c>
      <c r="E95">
        <v>0.998</v>
      </c>
    </row>
    <row r="96" spans="1:5" x14ac:dyDescent="0.2">
      <c r="A96" s="5">
        <v>42222</v>
      </c>
      <c r="B96">
        <v>13139</v>
      </c>
      <c r="C96">
        <v>364</v>
      </c>
      <c r="D96">
        <v>109</v>
      </c>
      <c r="E96">
        <v>0.83</v>
      </c>
    </row>
    <row r="97" spans="1:5" x14ac:dyDescent="0.2">
      <c r="A97" s="5">
        <v>42223</v>
      </c>
      <c r="B97">
        <v>12169</v>
      </c>
      <c r="C97">
        <v>316</v>
      </c>
      <c r="D97">
        <v>95</v>
      </c>
      <c r="E97">
        <v>0.78100000000000003</v>
      </c>
    </row>
    <row r="98" spans="1:5" x14ac:dyDescent="0.2">
      <c r="A98" s="5">
        <v>42224</v>
      </c>
      <c r="B98">
        <v>8836</v>
      </c>
      <c r="C98">
        <v>209</v>
      </c>
      <c r="D98">
        <v>49</v>
      </c>
      <c r="E98">
        <v>0.55500000000000005</v>
      </c>
    </row>
    <row r="99" spans="1:5" x14ac:dyDescent="0.2">
      <c r="A99" s="5">
        <v>42225</v>
      </c>
      <c r="B99">
        <v>8439</v>
      </c>
      <c r="C99">
        <v>176</v>
      </c>
      <c r="D99">
        <v>41</v>
      </c>
      <c r="E99">
        <v>0.48599999999999999</v>
      </c>
    </row>
    <row r="100" spans="1:5" x14ac:dyDescent="0.2">
      <c r="A100" s="5">
        <v>42226</v>
      </c>
      <c r="B100">
        <v>10544</v>
      </c>
      <c r="C100">
        <v>249</v>
      </c>
      <c r="D100">
        <v>56</v>
      </c>
      <c r="E100">
        <v>0.53100000000000003</v>
      </c>
    </row>
    <row r="101" spans="1:5" x14ac:dyDescent="0.2">
      <c r="A101" s="5">
        <v>42227</v>
      </c>
      <c r="B101">
        <v>11662</v>
      </c>
      <c r="C101">
        <v>273</v>
      </c>
      <c r="D101">
        <v>97</v>
      </c>
      <c r="E101">
        <v>0.83199999999999996</v>
      </c>
    </row>
    <row r="102" spans="1:5" x14ac:dyDescent="0.2">
      <c r="A102" s="5">
        <v>42228</v>
      </c>
      <c r="B102">
        <v>12540</v>
      </c>
      <c r="C102">
        <v>287</v>
      </c>
      <c r="D102">
        <v>78</v>
      </c>
      <c r="E102">
        <v>0.622</v>
      </c>
    </row>
    <row r="103" spans="1:5" x14ac:dyDescent="0.2">
      <c r="A103" s="5">
        <v>42229</v>
      </c>
      <c r="B103">
        <v>12568</v>
      </c>
      <c r="C103">
        <v>302</v>
      </c>
      <c r="D103">
        <v>96</v>
      </c>
      <c r="E103">
        <v>0.76400000000000001</v>
      </c>
    </row>
    <row r="104" spans="1:5" x14ac:dyDescent="0.2">
      <c r="A104" s="5">
        <v>42230</v>
      </c>
      <c r="B104">
        <v>10883</v>
      </c>
      <c r="C104">
        <v>274</v>
      </c>
      <c r="D104">
        <v>86</v>
      </c>
      <c r="E104">
        <v>0.79</v>
      </c>
    </row>
    <row r="105" spans="1:5" x14ac:dyDescent="0.2">
      <c r="A105" s="5">
        <v>42231</v>
      </c>
      <c r="B105">
        <v>8913</v>
      </c>
      <c r="C105">
        <v>227</v>
      </c>
      <c r="D105">
        <v>57</v>
      </c>
      <c r="E105">
        <v>0.64</v>
      </c>
    </row>
    <row r="106" spans="1:5" x14ac:dyDescent="0.2">
      <c r="A106" s="5">
        <v>42232</v>
      </c>
      <c r="B106">
        <v>8942</v>
      </c>
      <c r="C106">
        <v>240</v>
      </c>
      <c r="D106">
        <v>56</v>
      </c>
      <c r="E106">
        <v>0.626</v>
      </c>
    </row>
    <row r="107" spans="1:5" x14ac:dyDescent="0.2">
      <c r="A107" s="5">
        <v>42233</v>
      </c>
      <c r="B107">
        <v>11942</v>
      </c>
      <c r="C107">
        <v>326</v>
      </c>
      <c r="D107">
        <v>101</v>
      </c>
      <c r="E107">
        <v>0.84599999999999997</v>
      </c>
    </row>
    <row r="108" spans="1:5" x14ac:dyDescent="0.2">
      <c r="A108" s="5">
        <v>42234</v>
      </c>
      <c r="B108">
        <v>13047</v>
      </c>
      <c r="C108">
        <v>358</v>
      </c>
      <c r="D108">
        <v>128</v>
      </c>
      <c r="E108">
        <v>0.98099999999999998</v>
      </c>
    </row>
    <row r="109" spans="1:5" x14ac:dyDescent="0.2">
      <c r="A109" s="5">
        <v>42235</v>
      </c>
      <c r="B109">
        <v>12332</v>
      </c>
      <c r="C109">
        <v>316</v>
      </c>
      <c r="D109">
        <v>115</v>
      </c>
      <c r="E109">
        <v>0.93300000000000005</v>
      </c>
    </row>
    <row r="110" spans="1:5" x14ac:dyDescent="0.2">
      <c r="A110" s="5">
        <v>42236</v>
      </c>
      <c r="B110">
        <v>11813</v>
      </c>
      <c r="C110">
        <v>331</v>
      </c>
      <c r="D110">
        <v>127</v>
      </c>
      <c r="E110">
        <v>1.075</v>
      </c>
    </row>
    <row r="111" spans="1:5" x14ac:dyDescent="0.2">
      <c r="A111" s="5">
        <v>42237</v>
      </c>
      <c r="B111">
        <v>11087</v>
      </c>
      <c r="C111">
        <v>271</v>
      </c>
      <c r="D111">
        <v>77</v>
      </c>
      <c r="E111">
        <v>0.69499999999999995</v>
      </c>
    </row>
    <row r="112" spans="1:5" x14ac:dyDescent="0.2">
      <c r="A112" s="5">
        <v>42238</v>
      </c>
      <c r="B112">
        <v>9401</v>
      </c>
      <c r="C112">
        <v>223</v>
      </c>
      <c r="D112">
        <v>61</v>
      </c>
      <c r="E112">
        <v>0.64900000000000002</v>
      </c>
    </row>
    <row r="113" spans="1:5" x14ac:dyDescent="0.2">
      <c r="A113" s="5">
        <v>42239</v>
      </c>
      <c r="B113">
        <v>8822</v>
      </c>
      <c r="C113">
        <v>218</v>
      </c>
      <c r="D113">
        <v>65</v>
      </c>
      <c r="E113">
        <v>0.73699999999999999</v>
      </c>
    </row>
    <row r="114" spans="1:5" x14ac:dyDescent="0.2">
      <c r="A114" s="5">
        <v>42240</v>
      </c>
      <c r="B114">
        <v>11141</v>
      </c>
      <c r="C114">
        <v>294</v>
      </c>
      <c r="D114">
        <v>100</v>
      </c>
      <c r="E114">
        <v>0.89800000000000002</v>
      </c>
    </row>
    <row r="115" spans="1:5" x14ac:dyDescent="0.2">
      <c r="A115" s="5">
        <v>42241</v>
      </c>
      <c r="B115">
        <v>12229</v>
      </c>
      <c r="C115">
        <v>332</v>
      </c>
      <c r="D115">
        <v>98</v>
      </c>
      <c r="E115">
        <v>0.80100000000000005</v>
      </c>
    </row>
    <row r="116" spans="1:5" x14ac:dyDescent="0.2">
      <c r="A116" s="5">
        <v>42242</v>
      </c>
      <c r="B116">
        <v>11482</v>
      </c>
      <c r="C116">
        <v>342</v>
      </c>
      <c r="D116">
        <v>119</v>
      </c>
      <c r="E116">
        <v>1.036</v>
      </c>
    </row>
    <row r="117" spans="1:5" x14ac:dyDescent="0.2">
      <c r="A117" s="5">
        <v>42243</v>
      </c>
      <c r="B117">
        <v>12046</v>
      </c>
      <c r="C117">
        <v>299</v>
      </c>
      <c r="D117">
        <v>110</v>
      </c>
      <c r="E117">
        <v>0.91300000000000003</v>
      </c>
    </row>
    <row r="118" spans="1:5" x14ac:dyDescent="0.2">
      <c r="A118" s="5">
        <v>42244</v>
      </c>
      <c r="B118">
        <v>12174</v>
      </c>
      <c r="C118">
        <v>341</v>
      </c>
      <c r="D118">
        <v>93</v>
      </c>
      <c r="E118">
        <v>0.76400000000000001</v>
      </c>
    </row>
    <row r="119" spans="1:5" x14ac:dyDescent="0.2">
      <c r="A119" s="5">
        <v>42245</v>
      </c>
      <c r="B119">
        <v>9914</v>
      </c>
      <c r="C119">
        <v>245</v>
      </c>
      <c r="D119">
        <v>59</v>
      </c>
      <c r="E119">
        <v>0.59499999999999997</v>
      </c>
    </row>
    <row r="120" spans="1:5" x14ac:dyDescent="0.2">
      <c r="A120" s="5">
        <v>42246</v>
      </c>
      <c r="B120">
        <v>9579</v>
      </c>
      <c r="C120">
        <v>304</v>
      </c>
      <c r="D120">
        <v>94</v>
      </c>
      <c r="E120">
        <v>0.98099999999999998</v>
      </c>
    </row>
    <row r="121" spans="1:5" x14ac:dyDescent="0.2">
      <c r="A121" s="5">
        <v>42247</v>
      </c>
      <c r="B121">
        <v>11484</v>
      </c>
      <c r="C121">
        <v>296</v>
      </c>
      <c r="D121">
        <v>103</v>
      </c>
      <c r="E121">
        <v>0.89700000000000002</v>
      </c>
    </row>
    <row r="122" spans="1:5" x14ac:dyDescent="0.2">
      <c r="A122" s="5">
        <v>42248</v>
      </c>
      <c r="B122">
        <v>11239</v>
      </c>
      <c r="C122">
        <v>267</v>
      </c>
      <c r="D122">
        <v>81</v>
      </c>
      <c r="E122">
        <v>0.72099999999999997</v>
      </c>
    </row>
    <row r="123" spans="1:5" x14ac:dyDescent="0.2">
      <c r="A123" s="5">
        <v>42249</v>
      </c>
      <c r="B123">
        <v>10964</v>
      </c>
      <c r="C123">
        <v>282</v>
      </c>
      <c r="D123">
        <v>95</v>
      </c>
      <c r="E123">
        <v>0.86599999999999999</v>
      </c>
    </row>
    <row r="124" spans="1:5" x14ac:dyDescent="0.2">
      <c r="A124" s="5">
        <v>42250</v>
      </c>
      <c r="B124">
        <v>11521</v>
      </c>
      <c r="C124">
        <v>289</v>
      </c>
      <c r="D124">
        <v>78</v>
      </c>
      <c r="E124">
        <v>0.67700000000000005</v>
      </c>
    </row>
    <row r="125" spans="1:5" x14ac:dyDescent="0.2">
      <c r="A125" s="5">
        <v>42251</v>
      </c>
      <c r="B125">
        <v>11368</v>
      </c>
      <c r="C125">
        <v>273</v>
      </c>
      <c r="D125">
        <v>86</v>
      </c>
      <c r="E125">
        <v>0.75700000000000001</v>
      </c>
    </row>
    <row r="126" spans="1:5" x14ac:dyDescent="0.2">
      <c r="A126" s="5">
        <v>42252</v>
      </c>
      <c r="B126">
        <v>9449</v>
      </c>
      <c r="C126">
        <v>210</v>
      </c>
      <c r="D126">
        <v>66</v>
      </c>
      <c r="E126">
        <v>0.69799999999999995</v>
      </c>
    </row>
    <row r="127" spans="1:5" x14ac:dyDescent="0.2">
      <c r="A127" s="5">
        <v>42253</v>
      </c>
      <c r="B127">
        <v>9090</v>
      </c>
      <c r="C127">
        <v>200</v>
      </c>
      <c r="D127">
        <v>45</v>
      </c>
      <c r="E127">
        <v>0.495</v>
      </c>
    </row>
    <row r="128" spans="1:5" x14ac:dyDescent="0.2">
      <c r="A128" s="5">
        <v>42254</v>
      </c>
      <c r="B128">
        <v>11597</v>
      </c>
      <c r="C128">
        <v>282</v>
      </c>
      <c r="D128">
        <v>105</v>
      </c>
      <c r="E128">
        <v>0.90500000000000003</v>
      </c>
    </row>
    <row r="129" spans="1:5" x14ac:dyDescent="0.2">
      <c r="A129" s="5">
        <v>42255</v>
      </c>
      <c r="B129">
        <v>12698</v>
      </c>
      <c r="C129">
        <v>324</v>
      </c>
      <c r="D129">
        <v>102</v>
      </c>
      <c r="E129">
        <v>0.80300000000000005</v>
      </c>
    </row>
    <row r="130" spans="1:5" x14ac:dyDescent="0.2">
      <c r="A130" s="5">
        <v>42256</v>
      </c>
      <c r="B130">
        <v>13129</v>
      </c>
      <c r="C130">
        <v>358</v>
      </c>
      <c r="D130">
        <v>119</v>
      </c>
      <c r="E130">
        <v>0.90600000000000003</v>
      </c>
    </row>
    <row r="131" spans="1:5" x14ac:dyDescent="0.2">
      <c r="A131" s="5">
        <v>42257</v>
      </c>
      <c r="B131">
        <v>13614</v>
      </c>
      <c r="C131">
        <v>303</v>
      </c>
      <c r="D131">
        <v>110</v>
      </c>
      <c r="E131">
        <v>0.80800000000000005</v>
      </c>
    </row>
    <row r="132" spans="1:5" x14ac:dyDescent="0.2">
      <c r="A132" s="5">
        <v>42258</v>
      </c>
      <c r="B132">
        <v>13850</v>
      </c>
      <c r="C132">
        <v>381</v>
      </c>
      <c r="D132">
        <v>114</v>
      </c>
      <c r="E132">
        <v>0.82299999999999995</v>
      </c>
    </row>
    <row r="133" spans="1:5" x14ac:dyDescent="0.2">
      <c r="A133" s="5">
        <v>42259</v>
      </c>
      <c r="B133">
        <v>10393</v>
      </c>
      <c r="C133">
        <v>263</v>
      </c>
      <c r="D133">
        <v>74</v>
      </c>
      <c r="E133">
        <v>0.71199999999999997</v>
      </c>
    </row>
    <row r="134" spans="1:5" x14ac:dyDescent="0.2">
      <c r="A134" s="5">
        <v>42260</v>
      </c>
      <c r="B134">
        <v>10538</v>
      </c>
      <c r="C134">
        <v>244</v>
      </c>
      <c r="D134">
        <v>60</v>
      </c>
      <c r="E134">
        <v>0.56899999999999995</v>
      </c>
    </row>
    <row r="135" spans="1:5" x14ac:dyDescent="0.2">
      <c r="A135" s="5">
        <v>42261</v>
      </c>
      <c r="B135">
        <v>12929</v>
      </c>
      <c r="C135">
        <v>292</v>
      </c>
      <c r="D135">
        <v>90</v>
      </c>
      <c r="E135">
        <v>0.69599999999999995</v>
      </c>
    </row>
    <row r="136" spans="1:5" x14ac:dyDescent="0.2">
      <c r="A136" s="5">
        <v>42262</v>
      </c>
      <c r="B136">
        <v>13767</v>
      </c>
      <c r="C136">
        <v>319</v>
      </c>
      <c r="D136">
        <v>94</v>
      </c>
      <c r="E136">
        <v>0.68300000000000005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ColWidth="8.83203125" defaultRowHeight="15" x14ac:dyDescent="0.2"/>
  <cols>
    <col min="1" max="1" width="18.6640625" customWidth="1"/>
    <col min="2" max="3" width="14.6640625" style="2" customWidth="1"/>
    <col min="4" max="5" width="18.6640625" style="3" customWidth="1"/>
  </cols>
  <sheetData>
    <row r="1" spans="1:5" ht="32" customHeight="1" x14ac:dyDescent="0.2">
      <c r="A1" s="4" t="s">
        <v>14</v>
      </c>
      <c r="B1" s="4" t="s">
        <v>9</v>
      </c>
      <c r="C1" s="4" t="s">
        <v>15</v>
      </c>
      <c r="D1" s="4" t="s">
        <v>16</v>
      </c>
      <c r="E1" s="4" t="s">
        <v>17</v>
      </c>
    </row>
    <row r="2" spans="1:5" x14ac:dyDescent="0.2">
      <c r="A2" t="s">
        <v>11</v>
      </c>
      <c r="B2" s="2">
        <v>10656</v>
      </c>
      <c r="C2" s="2">
        <v>10656</v>
      </c>
      <c r="D2" s="3">
        <f>B2/SUM($B$2:$B$4)</f>
        <v>0.90929260175782911</v>
      </c>
      <c r="E2" s="3">
        <f>C2/SUM($C$2:$C$4)</f>
        <v>0.60298777727478492</v>
      </c>
    </row>
    <row r="3" spans="1:5" x14ac:dyDescent="0.2">
      <c r="A3" t="s">
        <v>12</v>
      </c>
      <c r="B3" s="2">
        <v>951</v>
      </c>
      <c r="C3" s="2">
        <v>2214</v>
      </c>
      <c r="D3" s="3">
        <f>B3/SUM($B$2:$B$4)</f>
        <v>8.115026879426572E-2</v>
      </c>
      <c r="E3" s="3">
        <f>C3/SUM($C$2:$C$4)</f>
        <v>0.12528293345405161</v>
      </c>
    </row>
    <row r="4" spans="1:5" x14ac:dyDescent="0.2">
      <c r="A4" t="s">
        <v>13</v>
      </c>
      <c r="B4" s="2">
        <v>112</v>
      </c>
      <c r="C4" s="2">
        <v>4802</v>
      </c>
      <c r="D4" s="3">
        <f>B4/SUM($B$2:$B$4)</f>
        <v>9.5571294479051116E-3</v>
      </c>
      <c r="E4" s="3">
        <f>C4/SUM($C$2:$C$4)</f>
        <v>0.27172928927116341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14.6640625" customWidth="1"/>
    <col min="2" max="3" width="14.6640625" style="2" customWidth="1"/>
    <col min="4" max="4" width="12.6640625" style="3" customWidth="1"/>
  </cols>
  <sheetData>
    <row r="1" spans="1:4" ht="16" x14ac:dyDescent="0.2">
      <c r="A1" s="4" t="s">
        <v>18</v>
      </c>
      <c r="B1" s="4" t="s">
        <v>4</v>
      </c>
      <c r="C1" s="4" t="s">
        <v>9</v>
      </c>
      <c r="D1" s="4" t="s">
        <v>26</v>
      </c>
    </row>
    <row r="2" spans="1:4" x14ac:dyDescent="0.2">
      <c r="A2" t="s">
        <v>19</v>
      </c>
      <c r="B2" s="2">
        <v>248783</v>
      </c>
      <c r="C2" s="2">
        <v>2068</v>
      </c>
      <c r="D2" s="3">
        <f t="shared" ref="D2:D8" si="0">C2/B2</f>
        <v>8.3124650800094867E-3</v>
      </c>
    </row>
    <row r="3" spans="1:4" x14ac:dyDescent="0.2">
      <c r="A3" t="s">
        <v>20</v>
      </c>
      <c r="B3" s="2">
        <v>266107</v>
      </c>
      <c r="C3" s="2">
        <v>2457</v>
      </c>
      <c r="D3" s="3">
        <f t="shared" si="0"/>
        <v>9.2331280274476051E-3</v>
      </c>
    </row>
    <row r="4" spans="1:4" x14ac:dyDescent="0.2">
      <c r="A4" t="s">
        <v>21</v>
      </c>
      <c r="B4" s="2">
        <v>248808</v>
      </c>
      <c r="C4" s="2">
        <v>2291</v>
      </c>
      <c r="D4" s="3">
        <f t="shared" si="0"/>
        <v>9.2079032828526405E-3</v>
      </c>
    </row>
    <row r="5" spans="1:4" x14ac:dyDescent="0.2">
      <c r="A5" t="s">
        <v>22</v>
      </c>
      <c r="B5" s="2">
        <v>244192</v>
      </c>
      <c r="C5" s="2">
        <v>2177</v>
      </c>
      <c r="D5" s="3">
        <f t="shared" si="0"/>
        <v>8.9151159743152929E-3</v>
      </c>
    </row>
    <row r="6" spans="1:4" x14ac:dyDescent="0.2">
      <c r="A6" t="s">
        <v>23</v>
      </c>
      <c r="B6" s="2">
        <v>232764</v>
      </c>
      <c r="C6" s="2">
        <v>1753</v>
      </c>
      <c r="D6" s="3">
        <f t="shared" si="0"/>
        <v>7.5312333522366002E-3</v>
      </c>
    </row>
    <row r="7" spans="1:4" x14ac:dyDescent="0.2">
      <c r="A7" t="s">
        <v>24</v>
      </c>
      <c r="B7" s="2">
        <v>194082</v>
      </c>
      <c r="C7" s="2">
        <v>1218</v>
      </c>
      <c r="D7" s="3">
        <f t="shared" si="0"/>
        <v>6.2756979008872539E-3</v>
      </c>
    </row>
    <row r="8" spans="1:4" x14ac:dyDescent="0.2">
      <c r="A8" t="s">
        <v>25</v>
      </c>
      <c r="B8" s="2">
        <v>191061</v>
      </c>
      <c r="C8" s="2">
        <v>1183</v>
      </c>
      <c r="D8" s="3">
        <f t="shared" si="0"/>
        <v>6.1917398108457507E-3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Сводка</vt:lpstr>
      <vt:lpstr>Воронка</vt:lpstr>
      <vt:lpstr>Динамика</vt:lpstr>
      <vt:lpstr>Сегменты</vt:lpstr>
      <vt:lpstr>Дни недели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Карен Айвазян</cp:lastModifiedBy>
  <dcterms:created xsi:type="dcterms:W3CDTF">2026-10-15T11:27:54Z</dcterms:created>
  <dcterms:modified xsi:type="dcterms:W3CDTF">2026-10-15T11:29:34Z</dcterms:modified>
</cp:coreProperties>
</file>